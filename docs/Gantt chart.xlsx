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filterPrivacy="1" codeName="ThisWorkbook"/>
  <xr:revisionPtr revIDLastSave="50" documentId="8_{062D8235-3DEF-4C14-B396-BBB8CC2DA8E7}" xr6:coauthVersionLast="47" xr6:coauthVersionMax="47" xr10:uidLastSave="{C1D1DFBC-52C7-46C8-B7C8-E48D52B002F6}"/>
  <bookViews>
    <workbookView xWindow="-110" yWindow="-110" windowWidth="19420" windowHeight="11500" xr2:uid="{00000000-000D-0000-FFFF-FFFF00000000}"/>
  </bookViews>
  <sheets>
    <sheet name="ProjectSchedule" sheetId="11" r:id="rId1"/>
    <sheet name="About" sheetId="12" r:id="rId2"/>
  </sheets>
  <definedNames>
    <definedName name="Display_Week">ProjectSchedule!$E$3</definedName>
    <definedName name="_xlnm.Print_Titles" localSheetId="0">ProjectSchedule!$3:$5</definedName>
    <definedName name="Project_Start">ProjectSchedule!$E$2</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X5" i="11" l="1"/>
  <c r="DX4" i="11"/>
  <c r="DY4" i="11" s="1"/>
  <c r="DX3" i="11"/>
  <c r="F27" i="11"/>
  <c r="E27" i="11"/>
  <c r="E22" i="11"/>
  <c r="E21" i="11"/>
  <c r="F21" i="11"/>
  <c r="E20" i="11"/>
  <c r="F20" i="11" s="1"/>
  <c r="E14" i="11"/>
  <c r="E15" i="11" s="1"/>
  <c r="E2" i="11"/>
  <c r="F12" i="11"/>
  <c r="F11" i="11"/>
  <c r="F10" i="11"/>
  <c r="F8" i="11"/>
  <c r="F9" i="11"/>
  <c r="H6" i="11"/>
  <c r="DY5" i="11" l="1"/>
  <c r="DZ4" i="11"/>
  <c r="F22" i="11"/>
  <c r="E23" i="11" s="1"/>
  <c r="F23" i="11" s="1"/>
  <c r="DZ5" i="11" l="1"/>
  <c r="EA4" i="11"/>
  <c r="H22" i="11"/>
  <c r="I4" i="11"/>
  <c r="H33" i="11"/>
  <c r="H32" i="11"/>
  <c r="H26" i="11"/>
  <c r="H20" i="11"/>
  <c r="H19" i="11"/>
  <c r="H13" i="11"/>
  <c r="H7" i="11"/>
  <c r="EA5" i="11" l="1"/>
  <c r="EB4" i="11"/>
  <c r="H8" i="11"/>
  <c r="I5" i="11"/>
  <c r="EB5" i="11" l="1"/>
  <c r="EC4" i="11"/>
  <c r="H9" i="11"/>
  <c r="E24" i="11"/>
  <c r="F24" i="11" s="1"/>
  <c r="E25" i="11" s="1"/>
  <c r="F25" i="11" s="1"/>
  <c r="H23" i="11"/>
  <c r="F15" i="11"/>
  <c r="F14" i="11"/>
  <c r="H14" i="11" s="1"/>
  <c r="H12" i="11"/>
  <c r="J4" i="11"/>
  <c r="K4" i="11" s="1"/>
  <c r="L4" i="11" s="1"/>
  <c r="M4" i="11" s="1"/>
  <c r="N4" i="11" s="1"/>
  <c r="O4" i="11" s="1"/>
  <c r="P4" i="11" s="1"/>
  <c r="I3" i="11"/>
  <c r="ED4" i="11" l="1"/>
  <c r="EC5" i="11"/>
  <c r="H27" i="11"/>
  <c r="E28" i="11"/>
  <c r="H25" i="11"/>
  <c r="H24" i="11"/>
  <c r="H15" i="11"/>
  <c r="E16" i="11"/>
  <c r="H10" i="11"/>
  <c r="H11" i="11"/>
  <c r="P3" i="11"/>
  <c r="Q4" i="11"/>
  <c r="R4" i="11" s="1"/>
  <c r="S4" i="11" s="1"/>
  <c r="T4" i="11" s="1"/>
  <c r="U4" i="11" s="1"/>
  <c r="V4" i="11" s="1"/>
  <c r="W4" i="11" s="1"/>
  <c r="J5" i="11"/>
  <c r="EE4" i="11" l="1"/>
  <c r="ED5" i="11"/>
  <c r="F28" i="11"/>
  <c r="H28" i="11" s="1"/>
  <c r="E29" i="11"/>
  <c r="F16" i="11"/>
  <c r="W3" i="11"/>
  <c r="X4" i="11"/>
  <c r="Y4" i="11" s="1"/>
  <c r="Z4" i="11" s="1"/>
  <c r="AA4" i="11" s="1"/>
  <c r="AB4" i="11" s="1"/>
  <c r="AC4" i="11" s="1"/>
  <c r="AD4" i="11" s="1"/>
  <c r="K5" i="11"/>
  <c r="EF4" i="11" l="1"/>
  <c r="EE3" i="11"/>
  <c r="EE5" i="11"/>
  <c r="E30" i="11"/>
  <c r="F29" i="11"/>
  <c r="H29" i="11" s="1"/>
  <c r="H16" i="11"/>
  <c r="E17" i="11"/>
  <c r="AE4" i="11"/>
  <c r="AF4" i="11" s="1"/>
  <c r="AG4" i="11" s="1"/>
  <c r="AH4" i="11" s="1"/>
  <c r="AI4" i="11" s="1"/>
  <c r="AJ4" i="11" s="1"/>
  <c r="AD3" i="11"/>
  <c r="L5" i="11"/>
  <c r="EG4" i="11" l="1"/>
  <c r="EF5" i="11"/>
  <c r="E31" i="11"/>
  <c r="F30" i="11"/>
  <c r="H30" i="11" s="1"/>
  <c r="F17" i="11"/>
  <c r="F18" i="11" s="1"/>
  <c r="E18" i="11"/>
  <c r="H18" i="11" s="1"/>
  <c r="AK4" i="11"/>
  <c r="AL4" i="11" s="1"/>
  <c r="AM4" i="11" s="1"/>
  <c r="AN4" i="11" s="1"/>
  <c r="AO4" i="11" s="1"/>
  <c r="AP4" i="11" s="1"/>
  <c r="AQ4" i="11" s="1"/>
  <c r="M5" i="11"/>
  <c r="EG5" i="11" l="1"/>
  <c r="EH4" i="11"/>
  <c r="F31" i="11"/>
  <c r="H31" i="11"/>
  <c r="H17" i="11"/>
  <c r="AR4" i="11"/>
  <c r="AS4" i="11" s="1"/>
  <c r="AK3" i="11"/>
  <c r="N5" i="11"/>
  <c r="EH5" i="11" l="1"/>
  <c r="EI4" i="11"/>
  <c r="AT4" i="11"/>
  <c r="AS5" i="11"/>
  <c r="AR3" i="11"/>
  <c r="O5" i="11"/>
  <c r="EI5" i="11" l="1"/>
  <c r="EJ4" i="11"/>
  <c r="AU4" i="11"/>
  <c r="AT5" i="11"/>
  <c r="EJ5" i="11" l="1"/>
  <c r="EK4" i="11"/>
  <c r="AV4" i="11"/>
  <c r="AU5" i="11"/>
  <c r="P5" i="11"/>
  <c r="Q5" i="11"/>
  <c r="EL4" i="11" l="1"/>
  <c r="EK5" i="11"/>
  <c r="AW4" i="11"/>
  <c r="AV5" i="11"/>
  <c r="R5" i="11"/>
  <c r="EM4" i="11" l="1"/>
  <c r="EL3" i="11"/>
  <c r="EL5" i="11"/>
  <c r="AX4" i="11"/>
  <c r="AY4" i="11" s="1"/>
  <c r="AW5" i="11"/>
  <c r="S5" i="11"/>
  <c r="EN4" i="11" l="1"/>
  <c r="EM5" i="11"/>
  <c r="AY5" i="11"/>
  <c r="AZ4" i="11"/>
  <c r="AY3" i="11"/>
  <c r="AX5" i="11"/>
  <c r="T5" i="11"/>
  <c r="EO4" i="11" l="1"/>
  <c r="EN5" i="11"/>
  <c r="BA4" i="11"/>
  <c r="AZ5" i="11"/>
  <c r="U5" i="11"/>
  <c r="EO5" i="11" l="1"/>
  <c r="EP4" i="11"/>
  <c r="BA5" i="11"/>
  <c r="BB4" i="11"/>
  <c r="V5" i="11"/>
  <c r="EP5" i="11" l="1"/>
  <c r="EQ4" i="11"/>
  <c r="BB5" i="11"/>
  <c r="BC4" i="11"/>
  <c r="W5" i="11"/>
  <c r="EQ5" i="11" l="1"/>
  <c r="ER4" i="11"/>
  <c r="ER5" i="11" s="1"/>
  <c r="BC5" i="11"/>
  <c r="BD4" i="11"/>
  <c r="X5" i="11"/>
  <c r="BE4" i="11" l="1"/>
  <c r="BD5" i="11"/>
  <c r="Y5" i="11"/>
  <c r="BE5" i="11" l="1"/>
  <c r="BF4" i="11"/>
  <c r="Z5" i="11"/>
  <c r="BF5" i="11" l="1"/>
  <c r="BG4" i="11"/>
  <c r="BF3" i="11"/>
  <c r="AA5" i="11"/>
  <c r="BG5" i="11" l="1"/>
  <c r="BH4" i="11"/>
  <c r="AB5" i="11"/>
  <c r="BI4" i="11" l="1"/>
  <c r="BH5" i="11"/>
  <c r="AC5" i="11"/>
  <c r="BJ4" i="11" l="1"/>
  <c r="BI5" i="11"/>
  <c r="AD5" i="11"/>
  <c r="BK4" i="11" l="1"/>
  <c r="BJ5" i="11"/>
  <c r="AE5" i="11"/>
  <c r="BL4" i="11" l="1"/>
  <c r="BM4" i="11" s="1"/>
  <c r="BK5" i="11"/>
  <c r="AF5" i="11"/>
  <c r="BM5" i="11" l="1"/>
  <c r="BN4" i="11"/>
  <c r="BM3" i="11"/>
  <c r="BL5" i="11"/>
  <c r="AG5" i="11"/>
  <c r="BO4" i="11" l="1"/>
  <c r="BN5" i="11"/>
  <c r="AH5" i="11"/>
  <c r="BO5" i="11" l="1"/>
  <c r="BP4" i="11"/>
  <c r="AI5" i="11"/>
  <c r="BP5" i="11" l="1"/>
  <c r="BQ4" i="11"/>
  <c r="AJ5" i="11"/>
  <c r="BR4" i="11" l="1"/>
  <c r="BQ5" i="11"/>
  <c r="AK5" i="11"/>
  <c r="BS4" i="11" l="1"/>
  <c r="BR5" i="11"/>
  <c r="AL5" i="11"/>
  <c r="BT4" i="11" l="1"/>
  <c r="BS5" i="11"/>
  <c r="AM5" i="11"/>
  <c r="BU4" i="11" l="1"/>
  <c r="BT3" i="11"/>
  <c r="BT5" i="11"/>
  <c r="AN5" i="11"/>
  <c r="BU5" i="11" l="1"/>
  <c r="BV4" i="11"/>
  <c r="AO5" i="11"/>
  <c r="BW4" i="11" l="1"/>
  <c r="BV5" i="11"/>
  <c r="AP5" i="11"/>
  <c r="BX4" i="11" l="1"/>
  <c r="BW5" i="11"/>
  <c r="AQ5" i="11"/>
  <c r="BY4" i="11" l="1"/>
  <c r="BX5" i="11"/>
  <c r="AR5" i="11"/>
  <c r="BY5" i="11" l="1"/>
  <c r="BZ4" i="11"/>
  <c r="BZ5" i="11" l="1"/>
  <c r="CA4" i="11"/>
  <c r="CA5" i="11" l="1"/>
  <c r="CB4" i="11"/>
  <c r="CA3" i="11"/>
  <c r="CB5" i="11" l="1"/>
  <c r="CC4" i="11"/>
  <c r="CC5" i="11" l="1"/>
  <c r="CD4" i="11"/>
  <c r="CE4" i="11" l="1"/>
  <c r="CD5" i="11"/>
  <c r="CF4" i="11" l="1"/>
  <c r="CE5" i="11"/>
  <c r="CG4" i="11" l="1"/>
  <c r="CF5" i="11"/>
  <c r="CH4" i="11" l="1"/>
  <c r="CG5" i="11"/>
  <c r="CI4" i="11" l="1"/>
  <c r="CH3" i="11"/>
  <c r="CH5" i="11"/>
  <c r="CJ4" i="11" l="1"/>
  <c r="CI5" i="11"/>
  <c r="CK4" i="11" l="1"/>
  <c r="CJ5" i="11"/>
  <c r="CK5" i="11" l="1"/>
  <c r="CL4" i="11"/>
  <c r="CL5" i="11" l="1"/>
  <c r="CM4" i="11"/>
  <c r="CN4" i="11" l="1"/>
  <c r="CM5" i="11"/>
  <c r="CN5" i="11" l="1"/>
  <c r="CO4" i="11"/>
  <c r="CP4" i="11" l="1"/>
  <c r="CO5" i="11"/>
  <c r="CO3" i="11"/>
  <c r="CP5" i="11" l="1"/>
  <c r="CQ4" i="11"/>
  <c r="CQ5" i="11" l="1"/>
  <c r="CR4" i="11"/>
  <c r="CR5" i="11" l="1"/>
  <c r="CS4" i="11"/>
  <c r="CS5" i="11" l="1"/>
  <c r="CT4" i="11"/>
  <c r="CT5" i="11" l="1"/>
  <c r="CU4" i="11"/>
  <c r="CV4" i="11" l="1"/>
  <c r="CU5" i="11"/>
  <c r="CV3" i="11" l="1"/>
  <c r="CW4" i="11"/>
  <c r="CV5" i="11"/>
  <c r="CX4" i="11" l="1"/>
  <c r="CW5" i="11"/>
  <c r="CX5" i="11" l="1"/>
  <c r="CY4" i="11"/>
  <c r="CY5" i="11" l="1"/>
  <c r="CZ4" i="11"/>
  <c r="CZ5" i="11" l="1"/>
  <c r="DA4" i="11"/>
  <c r="DA5" i="11" l="1"/>
  <c r="DB4" i="11"/>
  <c r="DB5" i="11" l="1"/>
  <c r="DC4" i="11"/>
  <c r="DD4" i="11" l="1"/>
  <c r="DC5" i="11"/>
  <c r="DC3" i="11"/>
  <c r="DD5" i="11" l="1"/>
  <c r="DE4" i="11"/>
  <c r="DE5" i="11" l="1"/>
  <c r="DF4" i="11"/>
  <c r="DG4" i="11" l="1"/>
  <c r="DF5" i="11"/>
  <c r="DG5" i="11" l="1"/>
  <c r="DH4" i="11"/>
  <c r="DH5" i="11" l="1"/>
  <c r="DI4" i="11"/>
  <c r="DI5" i="11" l="1"/>
  <c r="DJ4" i="11"/>
  <c r="DJ3" i="11" l="1"/>
  <c r="DJ5" i="11"/>
  <c r="DK4" i="11"/>
  <c r="DL4" i="11" l="1"/>
  <c r="DK5" i="11"/>
  <c r="DL5" i="11" l="1"/>
  <c r="DM4" i="11"/>
  <c r="DN4" i="11" l="1"/>
  <c r="DM5" i="11"/>
  <c r="DN5" i="11" l="1"/>
  <c r="DO4" i="11"/>
  <c r="DO5" i="11" l="1"/>
  <c r="DP4" i="11"/>
  <c r="DQ4" i="11" l="1"/>
  <c r="DP5" i="11"/>
  <c r="DR4" i="11" l="1"/>
  <c r="DQ3" i="11"/>
  <c r="DQ5" i="11"/>
  <c r="DS4" i="11" l="1"/>
  <c r="DR5" i="11"/>
  <c r="DT4" i="11" l="1"/>
  <c r="DS5" i="11"/>
  <c r="DT5" i="11" l="1"/>
  <c r="DU4" i="11"/>
  <c r="DU5" i="11" l="1"/>
  <c r="DV4" i="11"/>
  <c r="DW4" i="11" l="1"/>
  <c r="DW5" i="11" s="1"/>
  <c r="DV5" i="11"/>
</calcChain>
</file>

<file path=xl/sharedStrings.xml><?xml version="1.0" encoding="utf-8"?>
<sst xmlns="http://schemas.openxmlformats.org/spreadsheetml/2006/main" count="70" uniqueCount="64">
  <si>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</si>
  <si>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</si>
  <si>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</si>
  <si>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</si>
  <si>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</si>
  <si>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</si>
  <si>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</si>
  <si>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</si>
  <si>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</si>
  <si>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</si>
  <si>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</si>
  <si>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</si>
  <si>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</si>
  <si>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</si>
  <si>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Insert new rows ABOVE this one</t>
  </si>
  <si>
    <t>Project Start:</t>
  </si>
  <si>
    <t>Display Week:</t>
  </si>
  <si>
    <t>ASSIGNED
TO</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</si>
  <si>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</si>
  <si>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</si>
  <si>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</si>
  <si>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</si>
  <si>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</si>
  <si>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</si>
  <si>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</si>
  <si>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</si>
  <si>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</si>
  <si>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</si>
  <si>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</si>
  <si>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</si>
  <si>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</si>
  <si>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</si>
  <si>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</si>
  <si>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</si>
  <si>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</si>
  <si>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</si>
  <si>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</si>
  <si>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William Wang</t>
  </si>
  <si>
    <t>Phase 1 Preliminary review</t>
  </si>
  <si>
    <t>Review relationship between fatigue and ADB</t>
  </si>
  <si>
    <t>Research physiological factors</t>
  </si>
  <si>
    <t>Investigate Machine learning for ADB</t>
  </si>
  <si>
    <t>Research RootiRx chest patch</t>
  </si>
  <si>
    <t>Introduction</t>
  </si>
  <si>
    <t>Phase 2 HRV analysis</t>
  </si>
  <si>
    <t xml:space="preserve">Find ADB times </t>
  </si>
  <si>
    <t>Calculate HRV features</t>
  </si>
  <si>
    <t>Calculate HRV features in 30s window with 1s stride</t>
  </si>
  <si>
    <t>Remove outliers from HRV analysis</t>
  </si>
  <si>
    <t>Plot HRV features against time</t>
  </si>
  <si>
    <t>ML for ADB</t>
  </si>
  <si>
    <t>Phase 3 MLM</t>
  </si>
  <si>
    <t>Phase 4 Report writing</t>
  </si>
  <si>
    <t>Linear regression (LR)</t>
  </si>
  <si>
    <t>Naïve Bayes (NB)</t>
  </si>
  <si>
    <t>Support vector machine (SVM)</t>
  </si>
  <si>
    <t>Gated recurrent unit (GRU)</t>
  </si>
  <si>
    <t>Random Forest (RF)</t>
  </si>
  <si>
    <t>Method</t>
  </si>
  <si>
    <t>Discussion</t>
  </si>
  <si>
    <t>Conclusion</t>
  </si>
  <si>
    <t>Results</t>
  </si>
  <si>
    <t>Review</t>
  </si>
  <si>
    <t>Initial prep and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</si>
</sst>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6"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4"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5" fillId="0" borderId="0" applyNumberFormat="0" applyFill="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9" fillId="17" borderId="11" applyNumberFormat="0" applyAlignment="0" applyProtection="0"/>
    <xf numFmtId="0" fontId="30" fillId="18" borderId="12" applyNumberFormat="0" applyAlignment="0" applyProtection="0"/>
    <xf numFmtId="0" fontId="31" fillId="18" borderId="11" applyNumberFormat="0" applyAlignment="0" applyProtection="0"/>
    <xf numFmtId="0" fontId="32" fillId="0" borderId="13" applyNumberFormat="0" applyFill="0" applyAlignment="0" applyProtection="0"/>
    <xf numFmtId="0" fontId="33" fillId="19" borderId="14" applyNumberFormat="0" applyAlignment="0" applyProtection="0"/>
    <xf numFmtId="0" fontId="34" fillId="0" borderId="0" applyNumberFormat="0" applyFill="0" applyBorder="0" applyAlignment="0" applyProtection="0"/>
    <xf numFmtId="0" fontId="9" fillId="20" borderId="15" applyNumberFormat="0" applyFont="0" applyAlignment="0" applyProtection="0"/>
    <xf numFmtId="0" fontId="35"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6" fontId="9"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27">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215881"/>
      <color rgb="FF42648A"/>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R36"/>
  <sheetViews>
    <sheetView showGridLines="0" tabSelected="1" showRuler="0" topLeftCell="AA1" zoomScale="40" zoomScaleNormal="55" zoomScalePageLayoutView="70" workbookViewId="0">
      <pane ySplit="5" topLeftCell="A10" activePane="bottomLeft" state="frozen"/>
      <selection pane="bottomLeft" activeCell="BR1" sqref="BR1:ER1048576"/>
    </sheetView>
  </sheetViews>
  <sheetFormatPr defaultRowHeight="30" customHeight="1" x14ac:dyDescent="0.35"/>
  <cols>
    <col min="1" max="1" width="2.7265625" style="45" customWidth="1"/>
    <col min="2" max="2" width="28.36328125" customWidth="1"/>
    <col min="3" max="3" width="30.7265625" customWidth="1"/>
    <col min="4" max="4" width="10.7265625" customWidth="1"/>
    <col min="5" max="5" width="10.453125" style="5" customWidth="1"/>
    <col min="6" max="6" width="10.453125" customWidth="1"/>
    <col min="7" max="7" width="2.7265625" customWidth="1"/>
    <col min="8" max="8" width="6.1796875" hidden="1" customWidth="1"/>
    <col min="9" max="49" width="2.54296875" customWidth="1"/>
    <col min="50" max="148" width="2.453125" customWidth="1"/>
  </cols>
  <sheetData>
    <row r="1" spans="1:148" ht="26.5" customHeight="1" x14ac:dyDescent="0.65">
      <c r="A1" s="46" t="s">
        <v>0</v>
      </c>
      <c r="B1" s="49" t="s">
        <v>50</v>
      </c>
      <c r="C1" s="1"/>
      <c r="D1" s="2"/>
      <c r="E1" s="4"/>
      <c r="F1" s="34"/>
      <c r="H1" s="2"/>
      <c r="I1" s="66"/>
    </row>
    <row r="2" spans="1:148" ht="30" customHeight="1" x14ac:dyDescent="0.35">
      <c r="A2" s="45" t="s">
        <v>1</v>
      </c>
      <c r="B2" s="50" t="s">
        <v>37</v>
      </c>
      <c r="C2" s="86" t="s">
        <v>15</v>
      </c>
      <c r="D2" s="87"/>
      <c r="E2" s="91">
        <f>44956</f>
        <v>44956</v>
      </c>
      <c r="F2" s="91"/>
    </row>
    <row r="3" spans="1:148" ht="30" customHeight="1" x14ac:dyDescent="0.35">
      <c r="A3" s="46" t="s">
        <v>2</v>
      </c>
      <c r="C3" s="86" t="s">
        <v>16</v>
      </c>
      <c r="D3" s="87"/>
      <c r="E3" s="7"/>
      <c r="I3" s="88">
        <f>I4</f>
        <v>44949</v>
      </c>
      <c r="J3" s="89"/>
      <c r="K3" s="89"/>
      <c r="L3" s="89"/>
      <c r="M3" s="89"/>
      <c r="N3" s="89"/>
      <c r="O3" s="90"/>
      <c r="P3" s="88">
        <f>P4</f>
        <v>44956</v>
      </c>
      <c r="Q3" s="89"/>
      <c r="R3" s="89"/>
      <c r="S3" s="89"/>
      <c r="T3" s="89"/>
      <c r="U3" s="89"/>
      <c r="V3" s="90"/>
      <c r="W3" s="88">
        <f>W4</f>
        <v>44963</v>
      </c>
      <c r="X3" s="89"/>
      <c r="Y3" s="89"/>
      <c r="Z3" s="89"/>
      <c r="AA3" s="89"/>
      <c r="AB3" s="89"/>
      <c r="AC3" s="90"/>
      <c r="AD3" s="88">
        <f>AD4</f>
        <v>44970</v>
      </c>
      <c r="AE3" s="89"/>
      <c r="AF3" s="89"/>
      <c r="AG3" s="89"/>
      <c r="AH3" s="89"/>
      <c r="AI3" s="89"/>
      <c r="AJ3" s="90"/>
      <c r="AK3" s="88">
        <f>AK4</f>
        <v>44977</v>
      </c>
      <c r="AL3" s="89"/>
      <c r="AM3" s="89"/>
      <c r="AN3" s="89"/>
      <c r="AO3" s="89"/>
      <c r="AP3" s="89"/>
      <c r="AQ3" s="90"/>
      <c r="AR3" s="88">
        <f>AR4</f>
        <v>44984</v>
      </c>
      <c r="AS3" s="89"/>
      <c r="AT3" s="89"/>
      <c r="AU3" s="89"/>
      <c r="AV3" s="89"/>
      <c r="AW3" s="89"/>
      <c r="AX3" s="90"/>
      <c r="AY3" s="88">
        <f>AY4</f>
        <v>44991</v>
      </c>
      <c r="AZ3" s="89"/>
      <c r="BA3" s="89"/>
      <c r="BB3" s="89"/>
      <c r="BC3" s="89"/>
      <c r="BD3" s="89"/>
      <c r="BE3" s="90"/>
      <c r="BF3" s="88">
        <f>BF4</f>
        <v>44998</v>
      </c>
      <c r="BG3" s="89"/>
      <c r="BH3" s="89"/>
      <c r="BI3" s="89"/>
      <c r="BJ3" s="89"/>
      <c r="BK3" s="89"/>
      <c r="BL3" s="90"/>
      <c r="BM3" s="88">
        <f>BM4</f>
        <v>45005</v>
      </c>
      <c r="BN3" s="89"/>
      <c r="BO3" s="89"/>
      <c r="BP3" s="89"/>
      <c r="BQ3" s="89"/>
      <c r="BR3" s="89"/>
      <c r="BS3" s="90"/>
      <c r="BT3" s="88">
        <f>BT4</f>
        <v>45012</v>
      </c>
      <c r="BU3" s="89"/>
      <c r="BV3" s="89"/>
      <c r="BW3" s="89"/>
      <c r="BX3" s="89"/>
      <c r="BY3" s="89"/>
      <c r="BZ3" s="90"/>
      <c r="CA3" s="88">
        <f>CA4</f>
        <v>45019</v>
      </c>
      <c r="CB3" s="89"/>
      <c r="CC3" s="89"/>
      <c r="CD3" s="89"/>
      <c r="CE3" s="89"/>
      <c r="CF3" s="89"/>
      <c r="CG3" s="90"/>
      <c r="CH3" s="88">
        <f>CH4</f>
        <v>45026</v>
      </c>
      <c r="CI3" s="89"/>
      <c r="CJ3" s="89"/>
      <c r="CK3" s="89"/>
      <c r="CL3" s="89"/>
      <c r="CM3" s="89"/>
      <c r="CN3" s="90"/>
      <c r="CO3" s="88">
        <f>CO4</f>
        <v>45033</v>
      </c>
      <c r="CP3" s="89"/>
      <c r="CQ3" s="89"/>
      <c r="CR3" s="89"/>
      <c r="CS3" s="89"/>
      <c r="CT3" s="89"/>
      <c r="CU3" s="90"/>
      <c r="CV3" s="88">
        <f>CV4</f>
        <v>45040</v>
      </c>
      <c r="CW3" s="89"/>
      <c r="CX3" s="89"/>
      <c r="CY3" s="89"/>
      <c r="CZ3" s="89"/>
      <c r="DA3" s="89"/>
      <c r="DB3" s="90"/>
      <c r="DC3" s="88">
        <f>DC4</f>
        <v>45047</v>
      </c>
      <c r="DD3" s="89"/>
      <c r="DE3" s="89"/>
      <c r="DF3" s="89"/>
      <c r="DG3" s="89"/>
      <c r="DH3" s="89"/>
      <c r="DI3" s="90"/>
      <c r="DJ3" s="88">
        <f>DJ4</f>
        <v>45054</v>
      </c>
      <c r="DK3" s="89"/>
      <c r="DL3" s="89"/>
      <c r="DM3" s="89"/>
      <c r="DN3" s="89"/>
      <c r="DO3" s="89"/>
      <c r="DP3" s="90"/>
      <c r="DQ3" s="88">
        <f>DQ4</f>
        <v>45061</v>
      </c>
      <c r="DR3" s="89"/>
      <c r="DS3" s="89"/>
      <c r="DT3" s="89"/>
      <c r="DU3" s="89"/>
      <c r="DV3" s="89"/>
      <c r="DW3" s="90"/>
      <c r="DX3" s="88">
        <f>DX4</f>
        <v>45068</v>
      </c>
      <c r="DY3" s="89"/>
      <c r="DZ3" s="89"/>
      <c r="EA3" s="89"/>
      <c r="EB3" s="89"/>
      <c r="EC3" s="89"/>
      <c r="ED3" s="90"/>
      <c r="EE3" s="88">
        <f>EE4</f>
        <v>45075</v>
      </c>
      <c r="EF3" s="89"/>
      <c r="EG3" s="89"/>
      <c r="EH3" s="89"/>
      <c r="EI3" s="89"/>
      <c r="EJ3" s="89"/>
      <c r="EK3" s="90"/>
      <c r="EL3" s="88">
        <f>EL4</f>
        <v>45082</v>
      </c>
      <c r="EM3" s="89"/>
      <c r="EN3" s="89"/>
      <c r="EO3" s="89"/>
      <c r="EP3" s="89"/>
      <c r="EQ3" s="89"/>
      <c r="ER3" s="90"/>
    </row>
    <row r="4" spans="1:148" ht="15" customHeight="1" x14ac:dyDescent="0.35">
      <c r="A4" s="46" t="s">
        <v>3</v>
      </c>
      <c r="B4" s="65"/>
      <c r="C4" s="65"/>
      <c r="D4" s="65"/>
      <c r="E4" s="65"/>
      <c r="F4" s="65"/>
      <c r="G4" s="65"/>
      <c r="I4" s="83">
        <f>Project_Start-WEEKDAY(Project_Start,1)+2+7*(Display_Week-1)</f>
        <v>44949</v>
      </c>
      <c r="J4" s="84">
        <f>I4+1</f>
        <v>44950</v>
      </c>
      <c r="K4" s="84">
        <f t="shared" ref="K4:AX4" si="0">J4+1</f>
        <v>44951</v>
      </c>
      <c r="L4" s="84">
        <f t="shared" si="0"/>
        <v>44952</v>
      </c>
      <c r="M4" s="84">
        <f t="shared" si="0"/>
        <v>44953</v>
      </c>
      <c r="N4" s="84">
        <f t="shared" si="0"/>
        <v>44954</v>
      </c>
      <c r="O4" s="85">
        <f t="shared" si="0"/>
        <v>44955</v>
      </c>
      <c r="P4" s="83">
        <f>O4+1</f>
        <v>44956</v>
      </c>
      <c r="Q4" s="84">
        <f>P4+1</f>
        <v>44957</v>
      </c>
      <c r="R4" s="84">
        <f t="shared" si="0"/>
        <v>44958</v>
      </c>
      <c r="S4" s="84">
        <f t="shared" si="0"/>
        <v>44959</v>
      </c>
      <c r="T4" s="84">
        <f t="shared" si="0"/>
        <v>44960</v>
      </c>
      <c r="U4" s="84">
        <f t="shared" si="0"/>
        <v>44961</v>
      </c>
      <c r="V4" s="85">
        <f t="shared" si="0"/>
        <v>44962</v>
      </c>
      <c r="W4" s="83">
        <f>V4+1</f>
        <v>44963</v>
      </c>
      <c r="X4" s="84">
        <f>W4+1</f>
        <v>44964</v>
      </c>
      <c r="Y4" s="84">
        <f t="shared" si="0"/>
        <v>44965</v>
      </c>
      <c r="Z4" s="84">
        <f t="shared" si="0"/>
        <v>44966</v>
      </c>
      <c r="AA4" s="84">
        <f t="shared" si="0"/>
        <v>44967</v>
      </c>
      <c r="AB4" s="84">
        <f t="shared" si="0"/>
        <v>44968</v>
      </c>
      <c r="AC4" s="85">
        <f t="shared" si="0"/>
        <v>44969</v>
      </c>
      <c r="AD4" s="83">
        <f>AC4+1</f>
        <v>44970</v>
      </c>
      <c r="AE4" s="84">
        <f>AD4+1</f>
        <v>44971</v>
      </c>
      <c r="AF4" s="84">
        <f t="shared" si="0"/>
        <v>44972</v>
      </c>
      <c r="AG4" s="84">
        <f t="shared" si="0"/>
        <v>44973</v>
      </c>
      <c r="AH4" s="84">
        <f t="shared" si="0"/>
        <v>44974</v>
      </c>
      <c r="AI4" s="84">
        <f t="shared" si="0"/>
        <v>44975</v>
      </c>
      <c r="AJ4" s="85">
        <f t="shared" si="0"/>
        <v>44976</v>
      </c>
      <c r="AK4" s="83">
        <f>AJ4+1</f>
        <v>44977</v>
      </c>
      <c r="AL4" s="84">
        <f>AK4+1</f>
        <v>44978</v>
      </c>
      <c r="AM4" s="84">
        <f t="shared" si="0"/>
        <v>44979</v>
      </c>
      <c r="AN4" s="84">
        <f t="shared" si="0"/>
        <v>44980</v>
      </c>
      <c r="AO4" s="84">
        <f t="shared" si="0"/>
        <v>44981</v>
      </c>
      <c r="AP4" s="84">
        <f t="shared" si="0"/>
        <v>44982</v>
      </c>
      <c r="AQ4" s="85">
        <f t="shared" si="0"/>
        <v>44983</v>
      </c>
      <c r="AR4" s="83">
        <f>AQ4+1</f>
        <v>44984</v>
      </c>
      <c r="AS4" s="84">
        <f>AR4+1</f>
        <v>44985</v>
      </c>
      <c r="AT4" s="84">
        <f t="shared" si="0"/>
        <v>44986</v>
      </c>
      <c r="AU4" s="84">
        <f t="shared" si="0"/>
        <v>44987</v>
      </c>
      <c r="AV4" s="84">
        <f t="shared" si="0"/>
        <v>44988</v>
      </c>
      <c r="AW4" s="84">
        <f t="shared" si="0"/>
        <v>44989</v>
      </c>
      <c r="AX4" s="85">
        <f t="shared" si="0"/>
        <v>44990</v>
      </c>
      <c r="AY4" s="83">
        <f>AX4+1</f>
        <v>44991</v>
      </c>
      <c r="AZ4" s="84">
        <f>AY4+1</f>
        <v>44992</v>
      </c>
      <c r="BA4" s="84">
        <f t="shared" ref="BA4:BE4" si="1">AZ4+1</f>
        <v>44993</v>
      </c>
      <c r="BB4" s="84">
        <f t="shared" si="1"/>
        <v>44994</v>
      </c>
      <c r="BC4" s="84">
        <f t="shared" si="1"/>
        <v>44995</v>
      </c>
      <c r="BD4" s="84">
        <f t="shared" si="1"/>
        <v>44996</v>
      </c>
      <c r="BE4" s="85">
        <f t="shared" si="1"/>
        <v>44997</v>
      </c>
      <c r="BF4" s="83">
        <f>BE4+1</f>
        <v>44998</v>
      </c>
      <c r="BG4" s="84">
        <f>BF4+1</f>
        <v>44999</v>
      </c>
      <c r="BH4" s="84">
        <f t="shared" ref="BH4:BL4" si="2">BG4+1</f>
        <v>45000</v>
      </c>
      <c r="BI4" s="84">
        <f t="shared" si="2"/>
        <v>45001</v>
      </c>
      <c r="BJ4" s="84">
        <f t="shared" si="2"/>
        <v>45002</v>
      </c>
      <c r="BK4" s="84">
        <f t="shared" si="2"/>
        <v>45003</v>
      </c>
      <c r="BL4" s="85">
        <f t="shared" si="2"/>
        <v>45004</v>
      </c>
      <c r="BM4" s="83">
        <f>BL4+1</f>
        <v>45005</v>
      </c>
      <c r="BN4" s="84">
        <f>BM4+1</f>
        <v>45006</v>
      </c>
      <c r="BO4" s="84">
        <f t="shared" ref="BO4" si="3">BN4+1</f>
        <v>45007</v>
      </c>
      <c r="BP4" s="84">
        <f t="shared" ref="BP4" si="4">BO4+1</f>
        <v>45008</v>
      </c>
      <c r="BQ4" s="84">
        <f t="shared" ref="BQ4" si="5">BP4+1</f>
        <v>45009</v>
      </c>
      <c r="BR4" s="84">
        <f t="shared" ref="BR4" si="6">BQ4+1</f>
        <v>45010</v>
      </c>
      <c r="BS4" s="85">
        <f t="shared" ref="BS4" si="7">BR4+1</f>
        <v>45011</v>
      </c>
      <c r="BT4" s="83">
        <f>BS4+1</f>
        <v>45012</v>
      </c>
      <c r="BU4" s="84">
        <f>BT4+1</f>
        <v>45013</v>
      </c>
      <c r="BV4" s="84">
        <f t="shared" ref="BV4" si="8">BU4+1</f>
        <v>45014</v>
      </c>
      <c r="BW4" s="84">
        <f t="shared" ref="BW4" si="9">BV4+1</f>
        <v>45015</v>
      </c>
      <c r="BX4" s="84">
        <f t="shared" ref="BX4" si="10">BW4+1</f>
        <v>45016</v>
      </c>
      <c r="BY4" s="84">
        <f t="shared" ref="BY4" si="11">BX4+1</f>
        <v>45017</v>
      </c>
      <c r="BZ4" s="85">
        <f t="shared" ref="BZ4" si="12">BY4+1</f>
        <v>45018</v>
      </c>
      <c r="CA4" s="83">
        <f>BZ4+1</f>
        <v>45019</v>
      </c>
      <c r="CB4" s="84">
        <f>CA4+1</f>
        <v>45020</v>
      </c>
      <c r="CC4" s="84">
        <f t="shared" ref="CC4" si="13">CB4+1</f>
        <v>45021</v>
      </c>
      <c r="CD4" s="84">
        <f t="shared" ref="CD4" si="14">CC4+1</f>
        <v>45022</v>
      </c>
      <c r="CE4" s="84">
        <f t="shared" ref="CE4" si="15">CD4+1</f>
        <v>45023</v>
      </c>
      <c r="CF4" s="84">
        <f t="shared" ref="CF4" si="16">CE4+1</f>
        <v>45024</v>
      </c>
      <c r="CG4" s="85">
        <f t="shared" ref="CG4" si="17">CF4+1</f>
        <v>45025</v>
      </c>
      <c r="CH4" s="83">
        <f>CG4+1</f>
        <v>45026</v>
      </c>
      <c r="CI4" s="84">
        <f>CH4+1</f>
        <v>45027</v>
      </c>
      <c r="CJ4" s="84">
        <f t="shared" ref="CJ4" si="18">CI4+1</f>
        <v>45028</v>
      </c>
      <c r="CK4" s="84">
        <f t="shared" ref="CK4" si="19">CJ4+1</f>
        <v>45029</v>
      </c>
      <c r="CL4" s="84">
        <f t="shared" ref="CL4" si="20">CK4+1</f>
        <v>45030</v>
      </c>
      <c r="CM4" s="84">
        <f t="shared" ref="CM4" si="21">CL4+1</f>
        <v>45031</v>
      </c>
      <c r="CN4" s="85">
        <f t="shared" ref="CN4" si="22">CM4+1</f>
        <v>45032</v>
      </c>
      <c r="CO4" s="83">
        <f>CN4+1</f>
        <v>45033</v>
      </c>
      <c r="CP4" s="84">
        <f>CO4+1</f>
        <v>45034</v>
      </c>
      <c r="CQ4" s="84">
        <f t="shared" ref="CQ4" si="23">CP4+1</f>
        <v>45035</v>
      </c>
      <c r="CR4" s="84">
        <f t="shared" ref="CR4" si="24">CQ4+1</f>
        <v>45036</v>
      </c>
      <c r="CS4" s="84">
        <f t="shared" ref="CS4" si="25">CR4+1</f>
        <v>45037</v>
      </c>
      <c r="CT4" s="84">
        <f t="shared" ref="CT4" si="26">CS4+1</f>
        <v>45038</v>
      </c>
      <c r="CU4" s="85">
        <f t="shared" ref="CU4" si="27">CT4+1</f>
        <v>45039</v>
      </c>
      <c r="CV4" s="83">
        <f>CU4+1</f>
        <v>45040</v>
      </c>
      <c r="CW4" s="84">
        <f>CV4+1</f>
        <v>45041</v>
      </c>
      <c r="CX4" s="84">
        <f t="shared" ref="CX4" si="28">CW4+1</f>
        <v>45042</v>
      </c>
      <c r="CY4" s="84">
        <f t="shared" ref="CY4" si="29">CX4+1</f>
        <v>45043</v>
      </c>
      <c r="CZ4" s="84">
        <f t="shared" ref="CZ4" si="30">CY4+1</f>
        <v>45044</v>
      </c>
      <c r="DA4" s="84">
        <f t="shared" ref="DA4" si="31">CZ4+1</f>
        <v>45045</v>
      </c>
      <c r="DB4" s="85">
        <f t="shared" ref="DB4" si="32">DA4+1</f>
        <v>45046</v>
      </c>
      <c r="DC4" s="83">
        <f>DB4+1</f>
        <v>45047</v>
      </c>
      <c r="DD4" s="84">
        <f>DC4+1</f>
        <v>45048</v>
      </c>
      <c r="DE4" s="84">
        <f t="shared" ref="DE4" si="33">DD4+1</f>
        <v>45049</v>
      </c>
      <c r="DF4" s="84">
        <f t="shared" ref="DF4" si="34">DE4+1</f>
        <v>45050</v>
      </c>
      <c r="DG4" s="84">
        <f t="shared" ref="DG4" si="35">DF4+1</f>
        <v>45051</v>
      </c>
      <c r="DH4" s="84">
        <f t="shared" ref="DH4" si="36">DG4+1</f>
        <v>45052</v>
      </c>
      <c r="DI4" s="85">
        <f t="shared" ref="DI4" si="37">DH4+1</f>
        <v>45053</v>
      </c>
      <c r="DJ4" s="83">
        <f>DI4+1</f>
        <v>45054</v>
      </c>
      <c r="DK4" s="84">
        <f>DJ4+1</f>
        <v>45055</v>
      </c>
      <c r="DL4" s="84">
        <f t="shared" ref="DL4" si="38">DK4+1</f>
        <v>45056</v>
      </c>
      <c r="DM4" s="84">
        <f t="shared" ref="DM4" si="39">DL4+1</f>
        <v>45057</v>
      </c>
      <c r="DN4" s="84">
        <f t="shared" ref="DN4" si="40">DM4+1</f>
        <v>45058</v>
      </c>
      <c r="DO4" s="84">
        <f t="shared" ref="DO4" si="41">DN4+1</f>
        <v>45059</v>
      </c>
      <c r="DP4" s="85">
        <f t="shared" ref="DP4" si="42">DO4+1</f>
        <v>45060</v>
      </c>
      <c r="DQ4" s="83">
        <f>DP4+1</f>
        <v>45061</v>
      </c>
      <c r="DR4" s="84">
        <f>DQ4+1</f>
        <v>45062</v>
      </c>
      <c r="DS4" s="84">
        <f t="shared" ref="DS4" si="43">DR4+1</f>
        <v>45063</v>
      </c>
      <c r="DT4" s="84">
        <f t="shared" ref="DT4" si="44">DS4+1</f>
        <v>45064</v>
      </c>
      <c r="DU4" s="84">
        <f t="shared" ref="DU4" si="45">DT4+1</f>
        <v>45065</v>
      </c>
      <c r="DV4" s="84">
        <f t="shared" ref="DV4" si="46">DU4+1</f>
        <v>45066</v>
      </c>
      <c r="DW4" s="85">
        <f t="shared" ref="DW4" si="47">DV4+1</f>
        <v>45067</v>
      </c>
      <c r="DX4" s="83">
        <f>DW4+1</f>
        <v>45068</v>
      </c>
      <c r="DY4" s="84">
        <f>DX4+1</f>
        <v>45069</v>
      </c>
      <c r="DZ4" s="84">
        <f t="shared" ref="DZ4" si="48">DY4+1</f>
        <v>45070</v>
      </c>
      <c r="EA4" s="84">
        <f t="shared" ref="EA4" si="49">DZ4+1</f>
        <v>45071</v>
      </c>
      <c r="EB4" s="84">
        <f t="shared" ref="EB4" si="50">EA4+1</f>
        <v>45072</v>
      </c>
      <c r="EC4" s="84">
        <f t="shared" ref="EC4" si="51">EB4+1</f>
        <v>45073</v>
      </c>
      <c r="ED4" s="85">
        <f t="shared" ref="ED4" si="52">EC4+1</f>
        <v>45074</v>
      </c>
      <c r="EE4" s="83">
        <f>ED4+1</f>
        <v>45075</v>
      </c>
      <c r="EF4" s="84">
        <f>EE4+1</f>
        <v>45076</v>
      </c>
      <c r="EG4" s="84">
        <f t="shared" ref="EG4" si="53">EF4+1</f>
        <v>45077</v>
      </c>
      <c r="EH4" s="84">
        <f t="shared" ref="EH4" si="54">EG4+1</f>
        <v>45078</v>
      </c>
      <c r="EI4" s="84">
        <f t="shared" ref="EI4" si="55">EH4+1</f>
        <v>45079</v>
      </c>
      <c r="EJ4" s="84">
        <f t="shared" ref="EJ4" si="56">EI4+1</f>
        <v>45080</v>
      </c>
      <c r="EK4" s="85">
        <f t="shared" ref="EK4" si="57">EJ4+1</f>
        <v>45081</v>
      </c>
      <c r="EL4" s="83">
        <f>EK4+1</f>
        <v>45082</v>
      </c>
      <c r="EM4" s="84">
        <f>EL4+1</f>
        <v>45083</v>
      </c>
      <c r="EN4" s="84">
        <f t="shared" ref="EN4" si="58">EM4+1</f>
        <v>45084</v>
      </c>
      <c r="EO4" s="84">
        <f t="shared" ref="EO4" si="59">EN4+1</f>
        <v>45085</v>
      </c>
      <c r="EP4" s="84">
        <f t="shared" ref="EP4" si="60">EO4+1</f>
        <v>45086</v>
      </c>
      <c r="EQ4" s="84">
        <f t="shared" ref="EQ4" si="61">EP4+1</f>
        <v>45087</v>
      </c>
      <c r="ER4" s="85">
        <f t="shared" ref="ER4" si="62">EQ4+1</f>
        <v>45088</v>
      </c>
    </row>
    <row r="5" spans="1:148" ht="30" customHeight="1" thickBot="1" x14ac:dyDescent="0.4">
      <c r="A5" s="46" t="s">
        <v>4</v>
      </c>
      <c r="B5" s="8" t="s">
        <v>13</v>
      </c>
      <c r="C5" s="9" t="s">
        <v>17</v>
      </c>
      <c r="D5" s="9" t="s">
        <v>18</v>
      </c>
      <c r="E5" s="9" t="s">
        <v>19</v>
      </c>
      <c r="F5" s="9" t="s">
        <v>20</v>
      </c>
      <c r="G5" s="9"/>
      <c r="H5" s="9" t="s">
        <v>21</v>
      </c>
      <c r="I5" s="10" t="str">
        <f t="shared" ref="I5" si="63">LEFT(TEXT(I4,"ddd"),1)</f>
        <v>M</v>
      </c>
      <c r="J5" s="10" t="str">
        <f t="shared" ref="J5:AR5" si="64">LEFT(TEXT(J4,"ddd"),1)</f>
        <v>T</v>
      </c>
      <c r="K5" s="10" t="str">
        <f t="shared" si="64"/>
        <v>W</v>
      </c>
      <c r="L5" s="10" t="str">
        <f t="shared" si="64"/>
        <v>T</v>
      </c>
      <c r="M5" s="10" t="str">
        <f t="shared" si="64"/>
        <v>F</v>
      </c>
      <c r="N5" s="10" t="str">
        <f t="shared" si="64"/>
        <v>S</v>
      </c>
      <c r="O5" s="10" t="str">
        <f t="shared" si="64"/>
        <v>S</v>
      </c>
      <c r="P5" s="10" t="str">
        <f t="shared" si="64"/>
        <v>M</v>
      </c>
      <c r="Q5" s="10" t="str">
        <f t="shared" si="64"/>
        <v>T</v>
      </c>
      <c r="R5" s="10" t="str">
        <f t="shared" si="64"/>
        <v>W</v>
      </c>
      <c r="S5" s="10" t="str">
        <f t="shared" si="64"/>
        <v>T</v>
      </c>
      <c r="T5" s="10" t="str">
        <f t="shared" si="64"/>
        <v>F</v>
      </c>
      <c r="U5" s="10" t="str">
        <f t="shared" si="64"/>
        <v>S</v>
      </c>
      <c r="V5" s="10" t="str">
        <f t="shared" si="64"/>
        <v>S</v>
      </c>
      <c r="W5" s="10" t="str">
        <f t="shared" si="64"/>
        <v>M</v>
      </c>
      <c r="X5" s="10" t="str">
        <f t="shared" si="64"/>
        <v>T</v>
      </c>
      <c r="Y5" s="10" t="str">
        <f t="shared" si="64"/>
        <v>W</v>
      </c>
      <c r="Z5" s="10" t="str">
        <f t="shared" si="64"/>
        <v>T</v>
      </c>
      <c r="AA5" s="10" t="str">
        <f t="shared" si="64"/>
        <v>F</v>
      </c>
      <c r="AB5" s="10" t="str">
        <f t="shared" si="64"/>
        <v>S</v>
      </c>
      <c r="AC5" s="10" t="str">
        <f t="shared" si="64"/>
        <v>S</v>
      </c>
      <c r="AD5" s="10" t="str">
        <f t="shared" si="64"/>
        <v>M</v>
      </c>
      <c r="AE5" s="10" t="str">
        <f t="shared" si="64"/>
        <v>T</v>
      </c>
      <c r="AF5" s="10" t="str">
        <f t="shared" si="64"/>
        <v>W</v>
      </c>
      <c r="AG5" s="10" t="str">
        <f t="shared" si="64"/>
        <v>T</v>
      </c>
      <c r="AH5" s="10" t="str">
        <f t="shared" si="64"/>
        <v>F</v>
      </c>
      <c r="AI5" s="10" t="str">
        <f t="shared" si="64"/>
        <v>S</v>
      </c>
      <c r="AJ5" s="10" t="str">
        <f t="shared" si="64"/>
        <v>S</v>
      </c>
      <c r="AK5" s="10" t="str">
        <f t="shared" si="64"/>
        <v>M</v>
      </c>
      <c r="AL5" s="10" t="str">
        <f t="shared" si="64"/>
        <v>T</v>
      </c>
      <c r="AM5" s="10" t="str">
        <f t="shared" si="64"/>
        <v>W</v>
      </c>
      <c r="AN5" s="10" t="str">
        <f t="shared" si="64"/>
        <v>T</v>
      </c>
      <c r="AO5" s="10" t="str">
        <f t="shared" si="64"/>
        <v>F</v>
      </c>
      <c r="AP5" s="10" t="str">
        <f t="shared" si="64"/>
        <v>S</v>
      </c>
      <c r="AQ5" s="10" t="str">
        <f t="shared" si="64"/>
        <v>S</v>
      </c>
      <c r="AR5" s="10" t="str">
        <f t="shared" si="64"/>
        <v>M</v>
      </c>
      <c r="AS5" s="10" t="str">
        <f t="shared" ref="AS5:BL5" si="65">LEFT(TEXT(AS4,"ddd"),1)</f>
        <v>T</v>
      </c>
      <c r="AT5" s="10" t="str">
        <f t="shared" si="65"/>
        <v>W</v>
      </c>
      <c r="AU5" s="10" t="str">
        <f t="shared" si="65"/>
        <v>T</v>
      </c>
      <c r="AV5" s="10" t="str">
        <f t="shared" si="65"/>
        <v>F</v>
      </c>
      <c r="AW5" s="10" t="str">
        <f t="shared" si="65"/>
        <v>S</v>
      </c>
      <c r="AX5" s="10" t="str">
        <f t="shared" si="65"/>
        <v>S</v>
      </c>
      <c r="AY5" s="10" t="str">
        <f t="shared" si="65"/>
        <v>M</v>
      </c>
      <c r="AZ5" s="10" t="str">
        <f t="shared" si="65"/>
        <v>T</v>
      </c>
      <c r="BA5" s="10" t="str">
        <f t="shared" si="65"/>
        <v>W</v>
      </c>
      <c r="BB5" s="10" t="str">
        <f t="shared" si="65"/>
        <v>T</v>
      </c>
      <c r="BC5" s="10" t="str">
        <f t="shared" si="65"/>
        <v>F</v>
      </c>
      <c r="BD5" s="10" t="str">
        <f t="shared" si="65"/>
        <v>S</v>
      </c>
      <c r="BE5" s="10" t="str">
        <f t="shared" si="65"/>
        <v>S</v>
      </c>
      <c r="BF5" s="10" t="str">
        <f t="shared" si="65"/>
        <v>M</v>
      </c>
      <c r="BG5" s="10" t="str">
        <f t="shared" si="65"/>
        <v>T</v>
      </c>
      <c r="BH5" s="10" t="str">
        <f t="shared" si="65"/>
        <v>W</v>
      </c>
      <c r="BI5" s="10" t="str">
        <f t="shared" si="65"/>
        <v>T</v>
      </c>
      <c r="BJ5" s="10" t="str">
        <f t="shared" si="65"/>
        <v>F</v>
      </c>
      <c r="BK5" s="10" t="str">
        <f t="shared" si="65"/>
        <v>S</v>
      </c>
      <c r="BL5" s="10" t="str">
        <f t="shared" si="65"/>
        <v>S</v>
      </c>
      <c r="BM5" s="10" t="str">
        <f t="shared" ref="BM5:CN5" si="66">LEFT(TEXT(BM4,"ddd"),1)</f>
        <v>M</v>
      </c>
      <c r="BN5" s="10" t="str">
        <f t="shared" si="66"/>
        <v>T</v>
      </c>
      <c r="BO5" s="10" t="str">
        <f t="shared" si="66"/>
        <v>W</v>
      </c>
      <c r="BP5" s="10" t="str">
        <f t="shared" si="66"/>
        <v>T</v>
      </c>
      <c r="BQ5" s="10" t="str">
        <f t="shared" si="66"/>
        <v>F</v>
      </c>
      <c r="BR5" s="10" t="str">
        <f t="shared" si="66"/>
        <v>S</v>
      </c>
      <c r="BS5" s="10" t="str">
        <f t="shared" si="66"/>
        <v>S</v>
      </c>
      <c r="BT5" s="10" t="str">
        <f t="shared" si="66"/>
        <v>M</v>
      </c>
      <c r="BU5" s="10" t="str">
        <f t="shared" si="66"/>
        <v>T</v>
      </c>
      <c r="BV5" s="10" t="str">
        <f t="shared" si="66"/>
        <v>W</v>
      </c>
      <c r="BW5" s="10" t="str">
        <f t="shared" si="66"/>
        <v>T</v>
      </c>
      <c r="BX5" s="10" t="str">
        <f t="shared" si="66"/>
        <v>F</v>
      </c>
      <c r="BY5" s="10" t="str">
        <f t="shared" si="66"/>
        <v>S</v>
      </c>
      <c r="BZ5" s="10" t="str">
        <f t="shared" si="66"/>
        <v>S</v>
      </c>
      <c r="CA5" s="10" t="str">
        <f t="shared" si="66"/>
        <v>M</v>
      </c>
      <c r="CB5" s="10" t="str">
        <f t="shared" si="66"/>
        <v>T</v>
      </c>
      <c r="CC5" s="10" t="str">
        <f t="shared" si="66"/>
        <v>W</v>
      </c>
      <c r="CD5" s="10" t="str">
        <f t="shared" si="66"/>
        <v>T</v>
      </c>
      <c r="CE5" s="10" t="str">
        <f t="shared" si="66"/>
        <v>F</v>
      </c>
      <c r="CF5" s="10" t="str">
        <f t="shared" si="66"/>
        <v>S</v>
      </c>
      <c r="CG5" s="10" t="str">
        <f t="shared" si="66"/>
        <v>S</v>
      </c>
      <c r="CH5" s="10" t="str">
        <f t="shared" si="66"/>
        <v>M</v>
      </c>
      <c r="CI5" s="10" t="str">
        <f t="shared" si="66"/>
        <v>T</v>
      </c>
      <c r="CJ5" s="10" t="str">
        <f t="shared" si="66"/>
        <v>W</v>
      </c>
      <c r="CK5" s="10" t="str">
        <f t="shared" si="66"/>
        <v>T</v>
      </c>
      <c r="CL5" s="10" t="str">
        <f t="shared" si="66"/>
        <v>F</v>
      </c>
      <c r="CM5" s="10" t="str">
        <f t="shared" si="66"/>
        <v>S</v>
      </c>
      <c r="CN5" s="10" t="str">
        <f t="shared" si="66"/>
        <v>S</v>
      </c>
      <c r="CO5" s="10" t="str">
        <f t="shared" ref="CO5:DI5" si="67">LEFT(TEXT(CO4,"ddd"),1)</f>
        <v>M</v>
      </c>
      <c r="CP5" s="10" t="str">
        <f t="shared" si="67"/>
        <v>T</v>
      </c>
      <c r="CQ5" s="10" t="str">
        <f t="shared" si="67"/>
        <v>W</v>
      </c>
      <c r="CR5" s="10" t="str">
        <f t="shared" si="67"/>
        <v>T</v>
      </c>
      <c r="CS5" s="10" t="str">
        <f t="shared" si="67"/>
        <v>F</v>
      </c>
      <c r="CT5" s="10" t="str">
        <f t="shared" si="67"/>
        <v>S</v>
      </c>
      <c r="CU5" s="10" t="str">
        <f t="shared" si="67"/>
        <v>S</v>
      </c>
      <c r="CV5" s="10" t="str">
        <f t="shared" si="67"/>
        <v>M</v>
      </c>
      <c r="CW5" s="10" t="str">
        <f t="shared" si="67"/>
        <v>T</v>
      </c>
      <c r="CX5" s="10" t="str">
        <f t="shared" si="67"/>
        <v>W</v>
      </c>
      <c r="CY5" s="10" t="str">
        <f t="shared" si="67"/>
        <v>T</v>
      </c>
      <c r="CZ5" s="10" t="str">
        <f t="shared" si="67"/>
        <v>F</v>
      </c>
      <c r="DA5" s="10" t="str">
        <f t="shared" si="67"/>
        <v>S</v>
      </c>
      <c r="DB5" s="10" t="str">
        <f t="shared" si="67"/>
        <v>S</v>
      </c>
      <c r="DC5" s="10" t="str">
        <f t="shared" si="67"/>
        <v>M</v>
      </c>
      <c r="DD5" s="10" t="str">
        <f t="shared" si="67"/>
        <v>T</v>
      </c>
      <c r="DE5" s="10" t="str">
        <f t="shared" si="67"/>
        <v>W</v>
      </c>
      <c r="DF5" s="10" t="str">
        <f t="shared" si="67"/>
        <v>T</v>
      </c>
      <c r="DG5" s="10" t="str">
        <f t="shared" si="67"/>
        <v>F</v>
      </c>
      <c r="DH5" s="10" t="str">
        <f t="shared" si="67"/>
        <v>S</v>
      </c>
      <c r="DI5" s="10" t="str">
        <f t="shared" si="67"/>
        <v>S</v>
      </c>
      <c r="DJ5" s="10" t="str">
        <f t="shared" ref="DJ5:ED5" si="68">LEFT(TEXT(DJ4,"ddd"),1)</f>
        <v>M</v>
      </c>
      <c r="DK5" s="10" t="str">
        <f t="shared" si="68"/>
        <v>T</v>
      </c>
      <c r="DL5" s="10" t="str">
        <f t="shared" si="68"/>
        <v>W</v>
      </c>
      <c r="DM5" s="10" t="str">
        <f t="shared" si="68"/>
        <v>T</v>
      </c>
      <c r="DN5" s="10" t="str">
        <f t="shared" si="68"/>
        <v>F</v>
      </c>
      <c r="DO5" s="10" t="str">
        <f t="shared" si="68"/>
        <v>S</v>
      </c>
      <c r="DP5" s="10" t="str">
        <f t="shared" si="68"/>
        <v>S</v>
      </c>
      <c r="DQ5" s="10" t="str">
        <f t="shared" si="68"/>
        <v>M</v>
      </c>
      <c r="DR5" s="10" t="str">
        <f t="shared" si="68"/>
        <v>T</v>
      </c>
      <c r="DS5" s="10" t="str">
        <f t="shared" si="68"/>
        <v>W</v>
      </c>
      <c r="DT5" s="10" t="str">
        <f t="shared" si="68"/>
        <v>T</v>
      </c>
      <c r="DU5" s="10" t="str">
        <f t="shared" si="68"/>
        <v>F</v>
      </c>
      <c r="DV5" s="10" t="str">
        <f t="shared" si="68"/>
        <v>S</v>
      </c>
      <c r="DW5" s="10" t="str">
        <f t="shared" si="68"/>
        <v>S</v>
      </c>
      <c r="DX5" s="10" t="str">
        <f t="shared" si="68"/>
        <v>M</v>
      </c>
      <c r="DY5" s="10" t="str">
        <f t="shared" si="68"/>
        <v>T</v>
      </c>
      <c r="DZ5" s="10" t="str">
        <f t="shared" si="68"/>
        <v>W</v>
      </c>
      <c r="EA5" s="10" t="str">
        <f t="shared" si="68"/>
        <v>T</v>
      </c>
      <c r="EB5" s="10" t="str">
        <f t="shared" si="68"/>
        <v>F</v>
      </c>
      <c r="EC5" s="10" t="str">
        <f t="shared" si="68"/>
        <v>S</v>
      </c>
      <c r="ED5" s="10" t="str">
        <f t="shared" si="68"/>
        <v>S</v>
      </c>
      <c r="EE5" s="10" t="str">
        <f t="shared" ref="EE5:ER5" si="69">LEFT(TEXT(EE4,"ddd"),1)</f>
        <v>M</v>
      </c>
      <c r="EF5" s="10" t="str">
        <f t="shared" si="69"/>
        <v>T</v>
      </c>
      <c r="EG5" s="10" t="str">
        <f t="shared" si="69"/>
        <v>W</v>
      </c>
      <c r="EH5" s="10" t="str">
        <f t="shared" si="69"/>
        <v>T</v>
      </c>
      <c r="EI5" s="10" t="str">
        <f t="shared" si="69"/>
        <v>F</v>
      </c>
      <c r="EJ5" s="10" t="str">
        <f t="shared" si="69"/>
        <v>S</v>
      </c>
      <c r="EK5" s="10" t="str">
        <f t="shared" si="69"/>
        <v>S</v>
      </c>
      <c r="EL5" s="10" t="str">
        <f t="shared" si="69"/>
        <v>M</v>
      </c>
      <c r="EM5" s="10" t="str">
        <f t="shared" si="69"/>
        <v>T</v>
      </c>
      <c r="EN5" s="10" t="str">
        <f t="shared" si="69"/>
        <v>W</v>
      </c>
      <c r="EO5" s="10" t="str">
        <f t="shared" si="69"/>
        <v>T</v>
      </c>
      <c r="EP5" s="10" t="str">
        <f t="shared" si="69"/>
        <v>F</v>
      </c>
      <c r="EQ5" s="10" t="str">
        <f t="shared" si="69"/>
        <v>S</v>
      </c>
      <c r="ER5" s="10" t="str">
        <f t="shared" si="69"/>
        <v>S</v>
      </c>
    </row>
    <row r="6" spans="1:148" ht="30" hidden="1" customHeight="1" thickBot="1" x14ac:dyDescent="0.4">
      <c r="A6" s="45" t="s">
        <v>5</v>
      </c>
      <c r="C6" s="48"/>
      <c r="E6"/>
      <c r="H6" t="str">
        <f>IF(OR(ISBLANK(task_start),ISBLANK(task_end)),"",task_end-task_start+1)</f>
        <v/>
      </c>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c r="EG6" s="31"/>
      <c r="EH6" s="31"/>
      <c r="EI6" s="31"/>
      <c r="EJ6" s="31"/>
      <c r="EK6" s="31"/>
      <c r="EL6" s="31"/>
      <c r="EM6" s="31"/>
      <c r="EN6" s="31"/>
      <c r="EO6" s="31"/>
      <c r="EP6" s="31"/>
      <c r="EQ6" s="31"/>
      <c r="ER6" s="31"/>
    </row>
    <row r="7" spans="1:148" s="3" customFormat="1" ht="30" customHeight="1" thickBot="1" x14ac:dyDescent="0.4">
      <c r="A7" s="46" t="s">
        <v>6</v>
      </c>
      <c r="B7" s="15" t="s">
        <v>38</v>
      </c>
      <c r="C7" s="51"/>
      <c r="D7" s="16"/>
      <c r="E7" s="68"/>
      <c r="F7" s="69"/>
      <c r="G7" s="14"/>
      <c r="H7" s="14" t="str">
        <f t="shared" ref="H7:H33" si="70">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row>
    <row r="8" spans="1:148" s="3" customFormat="1" ht="30" customHeight="1" thickBot="1" x14ac:dyDescent="0.4">
      <c r="A8" s="46" t="s">
        <v>7</v>
      </c>
      <c r="B8" s="60" t="s">
        <v>39</v>
      </c>
      <c r="C8" s="52" t="s">
        <v>37</v>
      </c>
      <c r="D8" s="17">
        <v>1</v>
      </c>
      <c r="E8" s="70">
        <v>44956</v>
      </c>
      <c r="F8" s="70">
        <f>E8+31</f>
        <v>44987</v>
      </c>
      <c r="G8" s="14"/>
      <c r="H8" s="14">
        <f t="shared" si="70"/>
        <v>32</v>
      </c>
      <c r="I8" s="31"/>
      <c r="J8" s="31"/>
      <c r="K8" s="31"/>
      <c r="L8" s="31"/>
      <c r="M8" s="31"/>
      <c r="N8" s="31"/>
      <c r="O8" s="31"/>
      <c r="P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row>
    <row r="9" spans="1:148" s="3" customFormat="1" ht="30" customHeight="1" thickBot="1" x14ac:dyDescent="0.4">
      <c r="A9" s="46" t="s">
        <v>8</v>
      </c>
      <c r="B9" s="60" t="s">
        <v>40</v>
      </c>
      <c r="C9" s="52"/>
      <c r="D9" s="17">
        <v>1</v>
      </c>
      <c r="E9" s="70">
        <v>44956</v>
      </c>
      <c r="F9" s="70">
        <f t="shared" ref="F9" si="71">E9+31</f>
        <v>44987</v>
      </c>
      <c r="G9" s="14"/>
      <c r="H9" s="14">
        <f t="shared" si="70"/>
        <v>32</v>
      </c>
      <c r="I9" s="31"/>
      <c r="J9" s="31"/>
      <c r="K9" s="31"/>
      <c r="L9" s="31"/>
      <c r="M9" s="31"/>
      <c r="N9" s="31"/>
      <c r="O9" s="31"/>
      <c r="P9" s="31"/>
      <c r="Q9" s="31"/>
      <c r="R9" s="31"/>
      <c r="S9" s="31"/>
      <c r="T9" s="31"/>
      <c r="U9" s="32"/>
      <c r="V9" s="32"/>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row>
    <row r="10" spans="1:148" s="3" customFormat="1" ht="30" customHeight="1" thickBot="1" x14ac:dyDescent="0.4">
      <c r="A10" s="45"/>
      <c r="B10" s="60" t="s">
        <v>41</v>
      </c>
      <c r="C10" s="52"/>
      <c r="D10" s="17">
        <v>1</v>
      </c>
      <c r="E10" s="70">
        <v>44958</v>
      </c>
      <c r="F10" s="70">
        <f>E10+28</f>
        <v>44986</v>
      </c>
      <c r="G10" s="14"/>
      <c r="H10" s="14">
        <f t="shared" si="70"/>
        <v>29</v>
      </c>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row>
    <row r="11" spans="1:148" s="3" customFormat="1" ht="30" customHeight="1" thickBot="1" x14ac:dyDescent="0.4">
      <c r="A11" s="45"/>
      <c r="B11" s="60" t="s">
        <v>42</v>
      </c>
      <c r="C11" s="52"/>
      <c r="D11" s="17">
        <v>1</v>
      </c>
      <c r="E11" s="70">
        <v>44959</v>
      </c>
      <c r="F11" s="70">
        <f>E11+27</f>
        <v>44986</v>
      </c>
      <c r="G11" s="14"/>
      <c r="H11" s="14">
        <f t="shared" si="70"/>
        <v>28</v>
      </c>
      <c r="I11" s="31"/>
      <c r="J11" s="31"/>
      <c r="K11" s="31"/>
      <c r="L11" s="31"/>
      <c r="M11" s="31"/>
      <c r="N11" s="31"/>
      <c r="O11" s="31"/>
      <c r="P11" s="31"/>
      <c r="Q11" s="31"/>
      <c r="R11" s="31"/>
      <c r="S11" s="31"/>
      <c r="T11" s="31"/>
      <c r="U11" s="31"/>
      <c r="V11" s="31"/>
      <c r="W11" s="31"/>
      <c r="X11" s="31"/>
      <c r="Y11" s="32"/>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row>
    <row r="12" spans="1:148" s="3" customFormat="1" ht="30" customHeight="1" thickBot="1" x14ac:dyDescent="0.4">
      <c r="A12" s="45"/>
      <c r="B12" s="60" t="s">
        <v>43</v>
      </c>
      <c r="C12" s="52"/>
      <c r="D12" s="17">
        <v>1</v>
      </c>
      <c r="E12" s="70">
        <v>44960</v>
      </c>
      <c r="F12" s="70">
        <f>E12+15</f>
        <v>44975</v>
      </c>
      <c r="G12" s="14"/>
      <c r="H12" s="14">
        <f t="shared" si="70"/>
        <v>16</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row>
    <row r="13" spans="1:148" s="3" customFormat="1" ht="30" customHeight="1" thickBot="1" x14ac:dyDescent="0.4">
      <c r="A13" s="46" t="s">
        <v>9</v>
      </c>
      <c r="B13" s="18" t="s">
        <v>44</v>
      </c>
      <c r="C13" s="53"/>
      <c r="D13" s="19"/>
      <c r="E13" s="71"/>
      <c r="F13" s="72"/>
      <c r="G13" s="14"/>
      <c r="H13" s="14" t="str">
        <f t="shared" si="70"/>
        <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row>
    <row r="14" spans="1:148" s="3" customFormat="1" ht="30" customHeight="1" thickBot="1" x14ac:dyDescent="0.4">
      <c r="A14" s="46"/>
      <c r="B14" s="61" t="s">
        <v>45</v>
      </c>
      <c r="C14" s="54" t="s">
        <v>37</v>
      </c>
      <c r="D14" s="20">
        <v>1</v>
      </c>
      <c r="E14" s="73">
        <f>E12+12</f>
        <v>44972</v>
      </c>
      <c r="F14" s="73">
        <f>E14+4</f>
        <v>44976</v>
      </c>
      <c r="G14" s="14"/>
      <c r="H14" s="14">
        <f t="shared" si="70"/>
        <v>5</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row>
    <row r="15" spans="1:148" s="3" customFormat="1" ht="30" customHeight="1" thickBot="1" x14ac:dyDescent="0.4">
      <c r="A15" s="45"/>
      <c r="B15" s="61" t="s">
        <v>46</v>
      </c>
      <c r="C15" s="54"/>
      <c r="D15" s="20">
        <v>1</v>
      </c>
      <c r="E15" s="73">
        <f>E14+4</f>
        <v>44976</v>
      </c>
      <c r="F15" s="73">
        <f>E15+5</f>
        <v>44981</v>
      </c>
      <c r="G15" s="14"/>
      <c r="H15" s="14">
        <f t="shared" si="70"/>
        <v>6</v>
      </c>
      <c r="I15" s="31"/>
      <c r="J15" s="31"/>
      <c r="K15" s="31"/>
      <c r="L15" s="31"/>
      <c r="M15" s="31"/>
      <c r="N15" s="31"/>
      <c r="O15" s="31"/>
      <c r="P15" s="31"/>
      <c r="Q15" s="31"/>
      <c r="R15" s="31"/>
      <c r="S15" s="31"/>
      <c r="T15" s="31"/>
      <c r="U15" s="32"/>
      <c r="V15" s="32"/>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row>
    <row r="16" spans="1:148" s="3" customFormat="1" ht="30" customHeight="1" thickBot="1" x14ac:dyDescent="0.4">
      <c r="A16" s="45"/>
      <c r="B16" s="61" t="s">
        <v>48</v>
      </c>
      <c r="C16" s="54"/>
      <c r="D16" s="20">
        <v>1</v>
      </c>
      <c r="E16" s="73">
        <f>F15</f>
        <v>44981</v>
      </c>
      <c r="F16" s="73">
        <f>E16+3</f>
        <v>44984</v>
      </c>
      <c r="G16" s="14"/>
      <c r="H16" s="14">
        <f t="shared" si="70"/>
        <v>4</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row>
    <row r="17" spans="1:148" s="3" customFormat="1" ht="30" customHeight="1" thickBot="1" x14ac:dyDescent="0.4">
      <c r="A17" s="45"/>
      <c r="B17" s="61" t="s">
        <v>49</v>
      </c>
      <c r="C17" s="54"/>
      <c r="D17" s="20">
        <v>0.8</v>
      </c>
      <c r="E17" s="73">
        <f>F16</f>
        <v>44984</v>
      </c>
      <c r="F17" s="73">
        <f>E17+6</f>
        <v>44990</v>
      </c>
      <c r="G17" s="14"/>
      <c r="H17" s="14">
        <f t="shared" si="70"/>
        <v>7</v>
      </c>
      <c r="I17" s="31"/>
      <c r="J17" s="31"/>
      <c r="K17" s="31"/>
      <c r="L17" s="31"/>
      <c r="M17" s="31"/>
      <c r="N17" s="31"/>
      <c r="O17" s="31"/>
      <c r="P17" s="31"/>
      <c r="Q17" s="31"/>
      <c r="R17" s="31"/>
      <c r="S17" s="31"/>
      <c r="T17" s="31"/>
      <c r="U17" s="31"/>
      <c r="V17" s="31"/>
      <c r="W17" s="31"/>
      <c r="X17" s="31"/>
      <c r="Y17" s="32"/>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row>
    <row r="18" spans="1:148" s="3" customFormat="1" ht="30" customHeight="1" thickBot="1" x14ac:dyDescent="0.4">
      <c r="A18" s="45"/>
      <c r="B18" s="61" t="s">
        <v>47</v>
      </c>
      <c r="C18" s="54"/>
      <c r="D18" s="20">
        <v>0.8</v>
      </c>
      <c r="E18" s="73">
        <f>E17</f>
        <v>44984</v>
      </c>
      <c r="F18" s="73">
        <f>F17</f>
        <v>44990</v>
      </c>
      <c r="G18" s="14"/>
      <c r="H18" s="14">
        <f t="shared" si="70"/>
        <v>7</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row>
    <row r="19" spans="1:148" s="3" customFormat="1" ht="30" customHeight="1" thickBot="1" x14ac:dyDescent="0.4">
      <c r="A19" s="45" t="s">
        <v>10</v>
      </c>
      <c r="B19" s="21" t="s">
        <v>51</v>
      </c>
      <c r="C19" s="55"/>
      <c r="D19" s="22"/>
      <c r="E19" s="74"/>
      <c r="F19" s="75"/>
      <c r="G19" s="14"/>
      <c r="H19" s="14" t="str">
        <f t="shared" si="70"/>
        <v/>
      </c>
      <c r="I19" s="31"/>
      <c r="J19" s="31"/>
      <c r="K19" s="31"/>
      <c r="L19" s="31"/>
      <c r="M19" s="31"/>
      <c r="N19" s="31"/>
      <c r="O19" s="31"/>
      <c r="P19" s="31"/>
      <c r="Q19" s="31"/>
      <c r="R19" s="31"/>
      <c r="S19" s="31"/>
      <c r="T19" s="31"/>
      <c r="U19" s="31"/>
      <c r="V19" s="31"/>
      <c r="W19" s="31"/>
      <c r="X19" s="31"/>
      <c r="Y19" s="31"/>
      <c r="Z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row>
    <row r="20" spans="1:148" s="3" customFormat="1" ht="30" customHeight="1" thickBot="1" x14ac:dyDescent="0.4">
      <c r="A20" s="45"/>
      <c r="B20" s="62" t="s">
        <v>63</v>
      </c>
      <c r="C20" s="56" t="s">
        <v>37</v>
      </c>
      <c r="D20" s="23"/>
      <c r="E20" s="76">
        <f>E8+35</f>
        <v>44991</v>
      </c>
      <c r="F20" s="76">
        <f>E20+10</f>
        <v>45001</v>
      </c>
      <c r="G20" s="14"/>
      <c r="H20" s="14">
        <f t="shared" si="70"/>
        <v>11</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row>
    <row r="21" spans="1:148" s="3" customFormat="1" ht="30" customHeight="1" thickBot="1" x14ac:dyDescent="0.4">
      <c r="A21" s="45"/>
      <c r="B21" s="62" t="s">
        <v>53</v>
      </c>
      <c r="C21" s="56" t="s">
        <v>37</v>
      </c>
      <c r="D21" s="23"/>
      <c r="E21" s="76">
        <f>F20+1</f>
        <v>45002</v>
      </c>
      <c r="F21" s="76">
        <f>E21+10</f>
        <v>45012</v>
      </c>
      <c r="G21" s="14"/>
      <c r="H21" s="14"/>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row>
    <row r="22" spans="1:148" s="3" customFormat="1" ht="30" customHeight="1" thickBot="1" x14ac:dyDescent="0.4">
      <c r="A22" s="45"/>
      <c r="B22" s="62" t="s">
        <v>57</v>
      </c>
      <c r="C22" s="56"/>
      <c r="D22" s="23"/>
      <c r="E22" s="76">
        <f>F21+1</f>
        <v>45013</v>
      </c>
      <c r="F22" s="76">
        <f>E22+10</f>
        <v>45023</v>
      </c>
      <c r="G22" s="14"/>
      <c r="H22" s="14">
        <f t="shared" si="70"/>
        <v>11</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row>
    <row r="23" spans="1:148" s="3" customFormat="1" ht="30" customHeight="1" thickBot="1" x14ac:dyDescent="0.4">
      <c r="A23" s="45"/>
      <c r="B23" s="62" t="s">
        <v>54</v>
      </c>
      <c r="C23" s="56"/>
      <c r="D23" s="23"/>
      <c r="E23" s="76">
        <f>F22+1</f>
        <v>45024</v>
      </c>
      <c r="F23" s="76">
        <f>E23+10</f>
        <v>45034</v>
      </c>
      <c r="G23" s="14"/>
      <c r="H23" s="14">
        <f t="shared" si="70"/>
        <v>11</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row>
    <row r="24" spans="1:148" s="3" customFormat="1" ht="30" customHeight="1" thickBot="1" x14ac:dyDescent="0.4">
      <c r="A24" s="45"/>
      <c r="B24" s="62" t="s">
        <v>55</v>
      </c>
      <c r="C24" s="56"/>
      <c r="D24" s="23"/>
      <c r="E24" s="76">
        <f>F23+1</f>
        <v>45035</v>
      </c>
      <c r="F24" s="76">
        <f>E24+10</f>
        <v>45045</v>
      </c>
      <c r="G24" s="14"/>
      <c r="H24" s="14">
        <f t="shared" si="70"/>
        <v>11</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row>
    <row r="25" spans="1:148" s="3" customFormat="1" ht="30" customHeight="1" thickBot="1" x14ac:dyDescent="0.4">
      <c r="A25" s="45"/>
      <c r="B25" s="62" t="s">
        <v>56</v>
      </c>
      <c r="C25" s="56"/>
      <c r="D25" s="23"/>
      <c r="E25" s="76">
        <f>F24+1</f>
        <v>45046</v>
      </c>
      <c r="F25" s="76">
        <f>E25+10</f>
        <v>45056</v>
      </c>
      <c r="G25" s="14"/>
      <c r="H25" s="14">
        <f t="shared" si="70"/>
        <v>11</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row>
    <row r="26" spans="1:148" s="3" customFormat="1" ht="30" customHeight="1" thickBot="1" x14ac:dyDescent="0.4">
      <c r="A26" s="45" t="s">
        <v>10</v>
      </c>
      <c r="B26" s="24" t="s">
        <v>52</v>
      </c>
      <c r="C26" s="57"/>
      <c r="D26" s="25"/>
      <c r="E26" s="77"/>
      <c r="F26" s="78"/>
      <c r="G26" s="14"/>
      <c r="H26" s="14" t="str">
        <f t="shared" si="70"/>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row>
    <row r="27" spans="1:148" s="3" customFormat="1" ht="30" customHeight="1" thickBot="1" x14ac:dyDescent="0.4">
      <c r="A27" s="45"/>
      <c r="B27" s="63" t="s">
        <v>58</v>
      </c>
      <c r="C27" s="58" t="s">
        <v>37</v>
      </c>
      <c r="D27" s="26"/>
      <c r="E27" s="79">
        <f>F25+1</f>
        <v>45057</v>
      </c>
      <c r="F27" s="79">
        <f>E27+21</f>
        <v>45078</v>
      </c>
      <c r="G27" s="14"/>
      <c r="H27" s="14">
        <f t="shared" si="70"/>
        <v>22</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row>
    <row r="28" spans="1:148" s="3" customFormat="1" ht="30" customHeight="1" thickBot="1" x14ac:dyDescent="0.4">
      <c r="A28" s="45"/>
      <c r="B28" s="63" t="s">
        <v>61</v>
      </c>
      <c r="C28" s="58"/>
      <c r="D28" s="26"/>
      <c r="E28" s="79">
        <f>E27</f>
        <v>45057</v>
      </c>
      <c r="F28" s="79">
        <f t="shared" ref="F28:F31" si="72">E28+21</f>
        <v>45078</v>
      </c>
      <c r="G28" s="14"/>
      <c r="H28" s="14">
        <f t="shared" si="70"/>
        <v>22</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row>
    <row r="29" spans="1:148" s="3" customFormat="1" ht="30" customHeight="1" thickBot="1" x14ac:dyDescent="0.4">
      <c r="A29" s="45"/>
      <c r="B29" s="63" t="s">
        <v>59</v>
      </c>
      <c r="C29" s="58"/>
      <c r="D29" s="26"/>
      <c r="E29" s="79">
        <f t="shared" ref="E29:E31" si="73">E28</f>
        <v>45057</v>
      </c>
      <c r="F29" s="79">
        <f t="shared" si="72"/>
        <v>45078</v>
      </c>
      <c r="G29" s="14"/>
      <c r="H29" s="14">
        <f t="shared" si="70"/>
        <v>22</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row>
    <row r="30" spans="1:148" s="3" customFormat="1" ht="30" customHeight="1" thickBot="1" x14ac:dyDescent="0.4">
      <c r="A30" s="45"/>
      <c r="B30" s="63" t="s">
        <v>60</v>
      </c>
      <c r="C30" s="58"/>
      <c r="D30" s="26"/>
      <c r="E30" s="79">
        <f t="shared" si="73"/>
        <v>45057</v>
      </c>
      <c r="F30" s="79">
        <f t="shared" si="72"/>
        <v>45078</v>
      </c>
      <c r="G30" s="14"/>
      <c r="H30" s="14">
        <f t="shared" si="70"/>
        <v>22</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row>
    <row r="31" spans="1:148" s="3" customFormat="1" ht="30" customHeight="1" thickBot="1" x14ac:dyDescent="0.4">
      <c r="A31" s="45"/>
      <c r="B31" s="63" t="s">
        <v>62</v>
      </c>
      <c r="C31" s="58"/>
      <c r="D31" s="26"/>
      <c r="E31" s="79">
        <f t="shared" si="73"/>
        <v>45057</v>
      </c>
      <c r="F31" s="79">
        <f t="shared" si="72"/>
        <v>45078</v>
      </c>
      <c r="G31" s="14"/>
      <c r="H31" s="14">
        <f t="shared" si="70"/>
        <v>22</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row>
    <row r="32" spans="1:148" s="3" customFormat="1" ht="30" customHeight="1" thickBot="1" x14ac:dyDescent="0.4">
      <c r="A32" s="45" t="s">
        <v>11</v>
      </c>
      <c r="B32" s="64"/>
      <c r="C32" s="59"/>
      <c r="D32" s="13"/>
      <c r="E32" s="80"/>
      <c r="F32" s="80"/>
      <c r="G32" s="14"/>
      <c r="H32" s="14" t="str">
        <f t="shared" si="70"/>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row>
    <row r="33" spans="1:78" s="3" customFormat="1" ht="30" customHeight="1" thickBot="1" x14ac:dyDescent="0.4">
      <c r="A33" s="46" t="s">
        <v>12</v>
      </c>
      <c r="B33" s="27" t="s">
        <v>14</v>
      </c>
      <c r="C33" s="28"/>
      <c r="D33" s="29"/>
      <c r="E33" s="81"/>
      <c r="F33" s="82"/>
      <c r="G33" s="30"/>
      <c r="H33" s="30" t="str">
        <f t="shared" si="70"/>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row>
    <row r="34" spans="1:78" ht="30" customHeight="1" x14ac:dyDescent="0.35">
      <c r="G34" s="6"/>
    </row>
    <row r="35" spans="1:78" ht="30" customHeight="1" x14ac:dyDescent="0.35">
      <c r="C35" s="11"/>
      <c r="F35" s="47"/>
    </row>
    <row r="36" spans="1:78" ht="30" customHeight="1" x14ac:dyDescent="0.35">
      <c r="C36" s="12"/>
    </row>
  </sheetData>
  <mergeCells count="23">
    <mergeCell ref="EE3:EK3"/>
    <mergeCell ref="EL3:ER3"/>
    <mergeCell ref="CV3:DB3"/>
    <mergeCell ref="DC3:DI3"/>
    <mergeCell ref="DJ3:DP3"/>
    <mergeCell ref="DQ3:DW3"/>
    <mergeCell ref="DX3:ED3"/>
    <mergeCell ref="BM3:BS3"/>
    <mergeCell ref="BT3:BZ3"/>
    <mergeCell ref="CA3:CG3"/>
    <mergeCell ref="CH3:CN3"/>
    <mergeCell ref="CO3:CU3"/>
    <mergeCell ref="BF3:BL3"/>
    <mergeCell ref="E2:F2"/>
    <mergeCell ref="I3:O3"/>
    <mergeCell ref="P3:V3"/>
    <mergeCell ref="W3:AC3"/>
    <mergeCell ref="AD3:AJ3"/>
    <mergeCell ref="C2:D2"/>
    <mergeCell ref="C3:D3"/>
    <mergeCell ref="AK3:AQ3"/>
    <mergeCell ref="AR3:AX3"/>
    <mergeCell ref="AY3:BE3"/>
  </mergeCells>
  <conditionalFormatting sqref="D6:D33">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BL7 I8:P8 R8:W8 Y8:BL8 I9:BL18 I20:BL33 I19:Y19 AB19:BL19 BM4:BZ33">
    <cfRule type="expression" dxfId="17" priority="42">
      <formula>AND(TODAY()&gt;=I$4,TODAY()&lt;J$4)</formula>
    </cfRule>
  </conditionalFormatting>
  <conditionalFormatting sqref="I6:BL7 I8:P8 R8:W8 Y8:BL8 I9:BL18 I20:BL33 I19:Y19 AB19:BL19 BM6:BZ33">
    <cfRule type="expression" dxfId="16" priority="36">
      <formula>AND(task_start&lt;=I$4,ROUNDDOWN((task_end-task_start+1)*task_progress,0)+task_start-1&gt;=I$4)</formula>
    </cfRule>
    <cfRule type="expression" dxfId="15" priority="37" stopIfTrue="1">
      <formula>AND(task_end&gt;=I$4,task_start&lt;J$4)</formula>
    </cfRule>
  </conditionalFormatting>
  <conditionalFormatting sqref="X8">
    <cfRule type="expression" dxfId="14" priority="44">
      <formula>AND(TODAY()&gt;=Q$4,TODAY()&lt;R$4)</formula>
    </cfRule>
  </conditionalFormatting>
  <conditionalFormatting sqref="X8">
    <cfRule type="expression" dxfId="13" priority="47">
      <formula>AND(task_start&lt;=Q$4,ROUNDDOWN((task_end-task_start+1)*task_progress,0)+task_start-1&gt;=Q$4)</formula>
    </cfRule>
    <cfRule type="expression" dxfId="12" priority="48" stopIfTrue="1">
      <formula>AND(task_end&gt;=Q$4,task_start&lt;R$4)</formula>
    </cfRule>
  </conditionalFormatting>
  <conditionalFormatting sqref="Z19">
    <cfRule type="expression" dxfId="11" priority="50">
      <formula>AND(TODAY()&gt;=AA$4,TODAY()&lt;AB$4)</formula>
    </cfRule>
  </conditionalFormatting>
  <conditionalFormatting sqref="Z19">
    <cfRule type="expression" dxfId="10" priority="53">
      <formula>AND(task_start&lt;=AA$4,ROUNDDOWN((task_end-task_start+1)*task_progress,0)+task_start-1&gt;=AA$4)</formula>
    </cfRule>
    <cfRule type="expression" dxfId="9" priority="54" stopIfTrue="1">
      <formula>AND(task_end&gt;=AA$4,task_start&lt;AB$4)</formula>
    </cfRule>
  </conditionalFormatting>
  <conditionalFormatting sqref="CA4:DB31">
    <cfRule type="expression" dxfId="8" priority="9">
      <formula>AND(TODAY()&gt;=CA$4,TODAY()&lt;CB$4)</formula>
    </cfRule>
  </conditionalFormatting>
  <conditionalFormatting sqref="CA6:DB31">
    <cfRule type="expression" dxfId="7" priority="7">
      <formula>AND(task_start&lt;=CA$4,ROUNDDOWN((task_end-task_start+1)*task_progress,0)+task_start-1&gt;=CA$4)</formula>
    </cfRule>
    <cfRule type="expression" dxfId="6" priority="8" stopIfTrue="1">
      <formula>AND(task_end&gt;=CA$4,task_start&lt;CB$4)</formula>
    </cfRule>
  </conditionalFormatting>
  <conditionalFormatting sqref="DC4:DW31">
    <cfRule type="expression" dxfId="5" priority="6">
      <formula>AND(TODAY()&gt;=DC$4,TODAY()&lt;DD$4)</formula>
    </cfRule>
  </conditionalFormatting>
  <conditionalFormatting sqref="DC6:DW31">
    <cfRule type="expression" dxfId="4" priority="4">
      <formula>AND(task_start&lt;=DC$4,ROUNDDOWN((task_end-task_start+1)*task_progress,0)+task_start-1&gt;=DC$4)</formula>
    </cfRule>
    <cfRule type="expression" dxfId="3" priority="5" stopIfTrue="1">
      <formula>AND(task_end&gt;=DC$4,task_start&lt;DD$4)</formula>
    </cfRule>
  </conditionalFormatting>
  <conditionalFormatting sqref="DX4:ER31">
    <cfRule type="expression" dxfId="2" priority="3">
      <formula>AND(TODAY()&gt;=DX$4,TODAY()&lt;DY$4)</formula>
    </cfRule>
  </conditionalFormatting>
  <conditionalFormatting sqref="DX6:ER31">
    <cfRule type="expression" dxfId="1" priority="1">
      <formula>AND(task_start&lt;=DX$4,ROUNDDOWN((task_end-task_start+1)*task_progress,0)+task_start-1&gt;=DX$4)</formula>
    </cfRule>
    <cfRule type="expression" dxfId="0" priority="2" stopIfTrue="1">
      <formula>AND(task_end&gt;=DX$4,task_start&lt;DY$4)</formula>
    </cfRule>
  </conditionalFormatting>
  <dataValidations count="1">
    <dataValidation type="whole" operator="greaterThanOrEqual" allowBlank="1" showInputMessage="1" promptTitle="Display Week" prompt="Changing this number will scroll the Gantt Chart view." sqref="E3"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796875" defaultRowHeight="13" x14ac:dyDescent="0.3"/>
  <cols>
    <col min="1" max="1" width="87.1796875" style="35" customWidth="1"/>
    <col min="2" max="16384" width="9.1796875" style="2"/>
  </cols>
  <sheetData>
    <row r="1" spans="1:2" ht="46.5" customHeight="1" x14ac:dyDescent="0.3"/>
    <row r="2" spans="1:2" s="37" customFormat="1" ht="15.5" x14ac:dyDescent="0.35">
      <c r="A2" s="36" t="s">
        <v>22</v>
      </c>
      <c r="B2" s="36"/>
    </row>
    <row r="3" spans="1:2" s="41" customFormat="1" ht="27" customHeight="1" x14ac:dyDescent="0.35">
      <c r="A3" s="67" t="s">
        <v>23</v>
      </c>
      <c r="B3" s="42"/>
    </row>
    <row r="4" spans="1:2" s="38" customFormat="1" ht="26" x14ac:dyDescent="0.6">
      <c r="A4" s="39" t="s">
        <v>24</v>
      </c>
    </row>
    <row r="5" spans="1:2" ht="74.150000000000006" customHeight="1" x14ac:dyDescent="0.3">
      <c r="A5" s="40" t="s">
        <v>25</v>
      </c>
    </row>
    <row r="6" spans="1:2" ht="26.25" customHeight="1" x14ac:dyDescent="0.3">
      <c r="A6" s="39" t="s">
        <v>26</v>
      </c>
    </row>
    <row r="7" spans="1:2" s="35" customFormat="1" ht="205" customHeight="1" x14ac:dyDescent="0.35">
      <c r="A7" s="44" t="s">
        <v>27</v>
      </c>
    </row>
    <row r="8" spans="1:2" s="38" customFormat="1" ht="26" x14ac:dyDescent="0.6">
      <c r="A8" s="39" t="s">
        <v>28</v>
      </c>
    </row>
    <row r="9" spans="1:2" ht="58" x14ac:dyDescent="0.3">
      <c r="A9" s="40" t="s">
        <v>29</v>
      </c>
    </row>
    <row r="10" spans="1:2" s="35" customFormat="1" ht="28" customHeight="1" x14ac:dyDescent="0.35">
      <c r="A10" s="43" t="s">
        <v>30</v>
      </c>
    </row>
    <row r="11" spans="1:2" s="38" customFormat="1" ht="26" x14ac:dyDescent="0.6">
      <c r="A11" s="39" t="s">
        <v>31</v>
      </c>
    </row>
    <row r="12" spans="1:2" ht="29" x14ac:dyDescent="0.3">
      <c r="A12" s="40" t="s">
        <v>32</v>
      </c>
    </row>
    <row r="13" spans="1:2" s="35" customFormat="1" ht="28" customHeight="1" x14ac:dyDescent="0.35">
      <c r="A13" s="43" t="s">
        <v>33</v>
      </c>
    </row>
    <row r="14" spans="1:2" s="38" customFormat="1" ht="26" x14ac:dyDescent="0.6">
      <c r="A14" s="39" t="s">
        <v>34</v>
      </c>
    </row>
    <row r="15" spans="1:2" ht="75" customHeight="1" x14ac:dyDescent="0.3">
      <c r="A15" s="40" t="s">
        <v>35</v>
      </c>
    </row>
    <row r="16" spans="1:2" ht="72.5" x14ac:dyDescent="0.3">
      <c r="A16" s="40" t="s">
        <v>36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2023-03-02T23:28:47Z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